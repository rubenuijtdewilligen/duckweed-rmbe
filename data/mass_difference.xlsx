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/dev/duckweed-rmbe/data/"/>
    </mc:Choice>
  </mc:AlternateContent>
  <xr:revisionPtr revIDLastSave="0" documentId="8_{2A5127E4-940C-9C49-9834-DFF3523EA0E4}" xr6:coauthVersionLast="47" xr6:coauthVersionMax="47" xr10:uidLastSave="{00000000-0000-0000-0000-000000000000}"/>
  <bookViews>
    <workbookView xWindow="0" yWindow="760" windowWidth="29400" windowHeight="16740" xr2:uid="{809ECC26-FBF5-D645-BA1A-9B7D961F5112}"/>
  </bookViews>
  <sheets>
    <sheet name="container_yields" sheetId="1" r:id="rId1"/>
    <sheet name="calibration_day7_harv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2" i="1"/>
  <c r="J5" i="1"/>
  <c r="J4" i="1"/>
  <c r="J3" i="1"/>
  <c r="J2" i="1"/>
  <c r="B3" i="2"/>
  <c r="I3" i="1" s="1"/>
  <c r="I2" i="1"/>
  <c r="B1" i="2"/>
  <c r="B2" i="2"/>
  <c r="H3" i="1"/>
  <c r="H4" i="1"/>
  <c r="H5" i="1"/>
  <c r="H2" i="1"/>
  <c r="I5" i="1" l="1"/>
  <c r="I4" i="1"/>
</calcChain>
</file>

<file path=xl/sharedStrings.xml><?xml version="1.0" encoding="utf-8"?>
<sst xmlns="http://schemas.openxmlformats.org/spreadsheetml/2006/main" count="25" uniqueCount="21">
  <si>
    <t>container_id</t>
  </si>
  <si>
    <t>greenhouse</t>
  </si>
  <si>
    <t>treatment</t>
  </si>
  <si>
    <t>replicate</t>
  </si>
  <si>
    <t>start_fresh</t>
  </si>
  <si>
    <t>day7_area_before</t>
  </si>
  <si>
    <t>day7_area_after</t>
  </si>
  <si>
    <t>delta_area</t>
  </si>
  <si>
    <t>calculated_harvest_day7</t>
  </si>
  <si>
    <t>endweight_day9</t>
  </si>
  <si>
    <t>total_yield</t>
  </si>
  <si>
    <t>mass total day 7</t>
  </si>
  <si>
    <t>total removed coverage</t>
  </si>
  <si>
    <t>conversion factor</t>
  </si>
  <si>
    <t>high_light</t>
  </si>
  <si>
    <t>low_light</t>
  </si>
  <si>
    <t>greenhouse_2</t>
  </si>
  <si>
    <t>greenhouse_1</t>
  </si>
  <si>
    <t>%</t>
  </si>
  <si>
    <t>gram</t>
  </si>
  <si>
    <t>g per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</si>
</sst>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4" fontId="0" fillId="0" borderId="0" xfId="0" applyNumberFormat="1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9CC7-53BE-6E49-8C73-776D89877935}">
  <dimension ref="A1:K5"/>
  <sheetViews>
    <sheetView tabSelected="1" workbookViewId="0">
      <selection activeCell="O6" sqref="O6"/>
    </sheetView>
  </sheetViews>
  <sheetFormatPr baseColWidth="10" defaultRowHeight="16" x14ac:dyDescent="0.2"/>
  <cols>
    <col min="2" max="2" width="11.6640625" bestFit="1" customWidth="1"/>
    <col min="3" max="3" width="9.33203125" bestFit="1" customWidth="1"/>
    <col min="4" max="4" width="8.5" bestFit="1" customWidth="1"/>
    <col min="5" max="5" width="9.83203125" bestFit="1" customWidth="1"/>
    <col min="6" max="6" width="15.5" bestFit="1" customWidth="1"/>
    <col min="7" max="7" width="14.1640625" bestFit="1" customWidth="1"/>
    <col min="8" max="8" width="9.83203125" bestFit="1" customWidth="1"/>
    <col min="9" max="9" width="21.6640625" bestFit="1" customWidth="1"/>
    <col min="10" max="10" width="14.1640625" bestFit="1" customWidth="1"/>
    <col min="11" max="11" width="9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s="1" t="s">
        <v>17</v>
      </c>
      <c r="C2" t="s">
        <v>14</v>
      </c>
      <c r="D2">
        <v>1</v>
      </c>
      <c r="E2">
        <v>5.4</v>
      </c>
      <c r="F2">
        <v>90.84</v>
      </c>
      <c r="G2">
        <v>34.22</v>
      </c>
      <c r="H2">
        <f>F2-G2</f>
        <v>56.620000000000005</v>
      </c>
      <c r="I2" s="3">
        <f>calibration_day7_harvest!$B$3*H2</f>
        <v>2.4052535684707865</v>
      </c>
      <c r="J2">
        <f>476.65-468.35</f>
        <v>8.2999999999999545</v>
      </c>
      <c r="K2" s="3">
        <f>I2+J2</f>
        <v>10.705253568470741</v>
      </c>
    </row>
    <row r="3" spans="1:11" x14ac:dyDescent="0.2">
      <c r="A3">
        <v>4</v>
      </c>
      <c r="B3" s="1" t="s">
        <v>17</v>
      </c>
      <c r="C3" t="s">
        <v>14</v>
      </c>
      <c r="D3">
        <v>2</v>
      </c>
      <c r="E3">
        <v>5.0999999999999996</v>
      </c>
      <c r="F3">
        <v>83.51</v>
      </c>
      <c r="G3">
        <v>31.22</v>
      </c>
      <c r="H3">
        <f t="shared" ref="H3:H5" si="0">F3-G3</f>
        <v>52.290000000000006</v>
      </c>
      <c r="I3" s="3">
        <f>calibration_day7_harvest!$B$3*H3</f>
        <v>2.2213124177911947</v>
      </c>
      <c r="J3">
        <f>493.16-487.92</f>
        <v>5.2400000000000091</v>
      </c>
      <c r="K3" s="3">
        <f t="shared" ref="K3:K5" si="1">I3+J3</f>
        <v>7.4613124177912038</v>
      </c>
    </row>
    <row r="4" spans="1:11" x14ac:dyDescent="0.2">
      <c r="A4">
        <v>7</v>
      </c>
      <c r="B4" s="1" t="s">
        <v>16</v>
      </c>
      <c r="C4" t="s">
        <v>15</v>
      </c>
      <c r="D4">
        <v>1</v>
      </c>
      <c r="E4">
        <v>5.4</v>
      </c>
      <c r="F4">
        <v>86.88</v>
      </c>
      <c r="G4">
        <v>33.14</v>
      </c>
      <c r="H4">
        <f t="shared" si="0"/>
        <v>53.739999999999995</v>
      </c>
      <c r="I4" s="3">
        <f>calibration_day7_harvest!$B$3*H4</f>
        <v>2.2829093389194641</v>
      </c>
      <c r="J4">
        <f>538.25-533.13</f>
        <v>5.1200000000000045</v>
      </c>
      <c r="K4" s="3">
        <f t="shared" si="1"/>
        <v>7.4029093389194687</v>
      </c>
    </row>
    <row r="5" spans="1:11" x14ac:dyDescent="0.2">
      <c r="A5">
        <v>8</v>
      </c>
      <c r="B5" s="1" t="s">
        <v>16</v>
      </c>
      <c r="C5" t="s">
        <v>15</v>
      </c>
      <c r="D5">
        <v>2</v>
      </c>
      <c r="E5">
        <v>5.6</v>
      </c>
      <c r="F5">
        <v>87.61</v>
      </c>
      <c r="G5">
        <v>44.99</v>
      </c>
      <c r="H5">
        <f t="shared" si="0"/>
        <v>42.62</v>
      </c>
      <c r="I5" s="3">
        <f>calibration_day7_harvest!$B$3*H5</f>
        <v>1.8105246748185255</v>
      </c>
      <c r="J5">
        <f>504.62-497.28</f>
        <v>7.3400000000000318</v>
      </c>
      <c r="K5" s="3">
        <f t="shared" si="1"/>
        <v>9.1505246748185574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2396-8A9D-F248-B52F-84E78C29E782}">
  <dimension ref="A1:C3"/>
  <sheetViews>
    <sheetView workbookViewId="0">
      <selection activeCell="B3" sqref="B3"/>
    </sheetView>
  </sheetViews>
  <sheetFormatPr baseColWidth="10" defaultRowHeight="16" x14ac:dyDescent="0.2"/>
  <cols>
    <col min="1" max="1" width="20.1640625" bestFit="1" customWidth="1"/>
    <col min="2" max="2" width="11.6640625" bestFit="1" customWidth="1"/>
  </cols>
  <sheetData>
    <row r="1" spans="1:3" x14ac:dyDescent="0.2">
      <c r="A1" t="s">
        <v>11</v>
      </c>
      <c r="B1">
        <f>487.59-478.87</f>
        <v>8.7199999999999704</v>
      </c>
      <c r="C1" t="s">
        <v>19</v>
      </c>
    </row>
    <row r="2" spans="1:3" x14ac:dyDescent="0.2">
      <c r="A2" t="s">
        <v>12</v>
      </c>
      <c r="B2">
        <f>SUM(container_yields!H2:H5)</f>
        <v>205.27</v>
      </c>
      <c r="C2" t="s">
        <v>18</v>
      </c>
    </row>
    <row r="3" spans="1:3" x14ac:dyDescent="0.2">
      <c r="A3" t="s">
        <v>13</v>
      </c>
      <c r="B3" s="2">
        <f>B1/B2</f>
        <v>4.2480635260875775E-2</v>
      </c>
      <c r="C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container_yields</vt:lpstr>
      <vt:lpstr>calibration_day7_harvest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Uijtdewilligen, Ruben</dc:creator>
  <cp:lastModifiedBy>Uijtdewilligen, Ruben</cp:lastModifiedBy>
  <dcterms:created xsi:type="dcterms:W3CDTF">2026-06-17T13:23:19Z</dcterms:created>
  <dcterms:modified xsi:type="dcterms:W3CDTF">2026-06-17T14:07:11Z</dcterms:modified>
</cp:coreProperties>
</file>