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uben/dev/duckweed-rmbe/data/"/>
    </mc:Choice>
  </mc:AlternateContent>
  <xr:revisionPtr revIDLastSave="0" documentId="13_ncr:1_{EF9C4881-D43D-EF40-A434-F9EDBAABA446}" xr6:coauthVersionLast="47" xr6:coauthVersionMax="47" xr10:uidLastSave="{00000000-0000-0000-0000-000000000000}"/>
  <bookViews>
    <workbookView xWindow="0" yWindow="760" windowWidth="14700" windowHeight="16740" xr2:uid="{1AF4B679-1F14-8444-99BB-B7E1E6DBFAB9}"/>
  </bookViews>
  <sheets>
    <sheet name="Blad1" sheetId="1" r:id="rId1"/>
    <sheet name="fac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7" i="1" l="1"/>
  <c r="G36" i="1"/>
  <c r="G35" i="1"/>
  <c r="G34" i="1"/>
  <c r="G33" i="1"/>
  <c r="G32" i="1"/>
  <c r="G31" i="1"/>
  <c r="G30" i="1"/>
  <c r="D3" i="2"/>
  <c r="D4" i="2"/>
  <c r="D5" i="2"/>
  <c r="D2" i="2"/>
</calcChain>
</file>

<file path=xl/sharedStrings.xml><?xml version="1.0" encoding="utf-8"?>
<sst xmlns="http://schemas.openxmlformats.org/spreadsheetml/2006/main" count="84" uniqueCount="16">
  <si>
    <t>container_id</t>
  </si>
  <si>
    <t>greenhouse</t>
  </si>
  <si>
    <t>treatment</t>
  </si>
  <si>
    <t>replicate</t>
  </si>
  <si>
    <t>days_since_start</t>
  </si>
  <si>
    <t>date</t>
  </si>
  <si>
    <t>coverage_percent</t>
  </si>
  <si>
    <t>bleaching_score</t>
  </si>
  <si>
    <t>greenhouse_1</t>
  </si>
  <si>
    <t>high_light</t>
  </si>
  <si>
    <t>greenhouse_2</t>
  </si>
  <si>
    <t>low_light</t>
  </si>
  <si>
    <t>container</t>
  </si>
  <si>
    <t>before removal</t>
  </si>
  <si>
    <t>after removal</t>
  </si>
  <si>
    <t>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</si>
</sst>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2" fontId="0" fillId="0" borderId="0" xfId="0" applyNumberFormat="1"/>
    <xf numFmtId="0" fontId="2" fillId="0" borderId="0" xfId="0" applyFont="1"/>
    <xf numFmtId="22" fontId="2" fillId="0" borderId="0" xfId="0" applyNumberFormat="1" applyFont="1"/>
    <xf numFmtId="2" fontId="1" fillId="0" borderId="0" xfId="0" applyNumberFormat="1" applyFont="1"/>
    <xf numFmtId="2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42C9-4347-6048-B2F8-34461A0CE087}">
  <dimension ref="A1:H37"/>
  <sheetViews>
    <sheetView tabSelected="1" topLeftCell="A2" zoomScale="81" workbookViewId="0">
      <selection activeCell="I30" sqref="I30"/>
    </sheetView>
  </sheetViews>
  <sheetFormatPr baseColWidth="10" defaultRowHeight="16" x14ac:dyDescent="0.2"/>
  <cols>
    <col min="2" max="2" width="11.6640625" bestFit="1" customWidth="1"/>
    <col min="3" max="3" width="9.33203125" bestFit="1" customWidth="1"/>
    <col min="4" max="4" width="8.5" bestFit="1" customWidth="1"/>
    <col min="5" max="5" width="14.6640625" bestFit="1" customWidth="1"/>
    <col min="6" max="6" width="15.83203125" bestFit="1" customWidth="1"/>
    <col min="7" max="7" width="15.6640625" bestFit="1" customWidth="1"/>
    <col min="8" max="8" width="14.332031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s="1">
        <v>3</v>
      </c>
      <c r="B2" s="1" t="s">
        <v>8</v>
      </c>
      <c r="C2" s="1" t="s">
        <v>9</v>
      </c>
      <c r="D2" s="1">
        <v>1</v>
      </c>
      <c r="E2">
        <v>0</v>
      </c>
      <c r="F2" s="2">
        <v>46181.693055555559</v>
      </c>
      <c r="G2" s="1">
        <v>36.450000000000003</v>
      </c>
      <c r="H2">
        <v>0</v>
      </c>
    </row>
    <row r="3" spans="1:8" x14ac:dyDescent="0.2">
      <c r="A3" s="1">
        <v>4</v>
      </c>
      <c r="B3" s="1" t="s">
        <v>8</v>
      </c>
      <c r="C3" s="1" t="s">
        <v>9</v>
      </c>
      <c r="D3" s="1">
        <v>2</v>
      </c>
      <c r="E3">
        <v>0</v>
      </c>
      <c r="F3" s="2">
        <v>46181.693055555559</v>
      </c>
      <c r="G3" s="1">
        <v>51.17</v>
      </c>
      <c r="H3">
        <v>0</v>
      </c>
    </row>
    <row r="4" spans="1:8" x14ac:dyDescent="0.2">
      <c r="A4" s="1">
        <v>7</v>
      </c>
      <c r="B4" s="1" t="s">
        <v>10</v>
      </c>
      <c r="C4" s="1" t="s">
        <v>11</v>
      </c>
      <c r="D4" s="1">
        <v>1</v>
      </c>
      <c r="E4">
        <v>0</v>
      </c>
      <c r="F4" s="2">
        <v>46181.693055555559</v>
      </c>
      <c r="G4" s="1">
        <v>27.15</v>
      </c>
      <c r="H4">
        <v>0</v>
      </c>
    </row>
    <row r="5" spans="1:8" x14ac:dyDescent="0.2">
      <c r="A5" s="1">
        <v>8</v>
      </c>
      <c r="B5" s="1" t="s">
        <v>10</v>
      </c>
      <c r="C5" s="1" t="s">
        <v>11</v>
      </c>
      <c r="D5" s="1">
        <v>2</v>
      </c>
      <c r="E5">
        <v>0</v>
      </c>
      <c r="F5" s="2">
        <v>46181.693055555559</v>
      </c>
      <c r="G5" s="1">
        <v>37.04</v>
      </c>
      <c r="H5">
        <v>0</v>
      </c>
    </row>
    <row r="6" spans="1:8" x14ac:dyDescent="0.2">
      <c r="A6" s="1">
        <v>3</v>
      </c>
      <c r="B6" s="1" t="s">
        <v>8</v>
      </c>
      <c r="C6" s="1" t="s">
        <v>9</v>
      </c>
      <c r="D6" s="1">
        <v>1</v>
      </c>
      <c r="E6">
        <v>1</v>
      </c>
      <c r="F6" s="2">
        <v>46182.688888888886</v>
      </c>
      <c r="G6" s="1">
        <v>55.96</v>
      </c>
      <c r="H6">
        <v>0</v>
      </c>
    </row>
    <row r="7" spans="1:8" x14ac:dyDescent="0.2">
      <c r="A7" s="1">
        <v>4</v>
      </c>
      <c r="B7" s="1" t="s">
        <v>8</v>
      </c>
      <c r="C7" s="1" t="s">
        <v>9</v>
      </c>
      <c r="D7" s="1">
        <v>2</v>
      </c>
      <c r="E7">
        <v>1</v>
      </c>
      <c r="F7" s="2">
        <v>46182.688888888886</v>
      </c>
      <c r="G7" s="1">
        <v>46.87</v>
      </c>
      <c r="H7">
        <v>0</v>
      </c>
    </row>
    <row r="8" spans="1:8" x14ac:dyDescent="0.2">
      <c r="A8" s="1">
        <v>7</v>
      </c>
      <c r="B8" s="1" t="s">
        <v>10</v>
      </c>
      <c r="C8" s="1" t="s">
        <v>11</v>
      </c>
      <c r="D8" s="1">
        <v>1</v>
      </c>
      <c r="E8">
        <v>1</v>
      </c>
      <c r="F8" s="2">
        <v>46182.688888888886</v>
      </c>
      <c r="G8" s="1">
        <v>56.96</v>
      </c>
      <c r="H8">
        <v>0</v>
      </c>
    </row>
    <row r="9" spans="1:8" x14ac:dyDescent="0.2">
      <c r="A9" s="1">
        <v>8</v>
      </c>
      <c r="B9" s="1" t="s">
        <v>10</v>
      </c>
      <c r="C9" s="1" t="s">
        <v>11</v>
      </c>
      <c r="D9" s="1">
        <v>2</v>
      </c>
      <c r="E9">
        <v>1</v>
      </c>
      <c r="F9" s="2">
        <v>46182.688888888886</v>
      </c>
      <c r="G9" s="1">
        <v>63.56</v>
      </c>
      <c r="H9">
        <v>0</v>
      </c>
    </row>
    <row r="10" spans="1:8" x14ac:dyDescent="0.2">
      <c r="A10" s="1">
        <v>3</v>
      </c>
      <c r="B10" s="1" t="s">
        <v>8</v>
      </c>
      <c r="C10" s="1" t="s">
        <v>9</v>
      </c>
      <c r="D10" s="1">
        <v>1</v>
      </c>
      <c r="E10">
        <v>2</v>
      </c>
      <c r="F10" s="2">
        <v>46183.601388888892</v>
      </c>
      <c r="G10" s="1">
        <v>64.819999999999993</v>
      </c>
      <c r="H10" s="1">
        <v>0</v>
      </c>
    </row>
    <row r="11" spans="1:8" x14ac:dyDescent="0.2">
      <c r="A11" s="1">
        <v>4</v>
      </c>
      <c r="B11" s="1" t="s">
        <v>8</v>
      </c>
      <c r="C11" s="1" t="s">
        <v>9</v>
      </c>
      <c r="D11" s="1">
        <v>2</v>
      </c>
      <c r="E11">
        <v>2</v>
      </c>
      <c r="F11" s="2">
        <v>46183.601388888892</v>
      </c>
      <c r="G11" s="1">
        <v>52.41</v>
      </c>
      <c r="H11" s="1">
        <v>0</v>
      </c>
    </row>
    <row r="12" spans="1:8" x14ac:dyDescent="0.2">
      <c r="A12" s="1">
        <v>7</v>
      </c>
      <c r="B12" s="1" t="s">
        <v>10</v>
      </c>
      <c r="C12" s="1" t="s">
        <v>11</v>
      </c>
      <c r="D12" s="1">
        <v>1</v>
      </c>
      <c r="E12">
        <v>2</v>
      </c>
      <c r="F12" s="2">
        <v>46183.601388888892</v>
      </c>
      <c r="G12" s="1">
        <v>59.62</v>
      </c>
      <c r="H12" s="1">
        <v>0</v>
      </c>
    </row>
    <row r="13" spans="1:8" x14ac:dyDescent="0.2">
      <c r="A13" s="1">
        <v>8</v>
      </c>
      <c r="B13" s="1" t="s">
        <v>10</v>
      </c>
      <c r="C13" s="1" t="s">
        <v>11</v>
      </c>
      <c r="D13" s="1">
        <v>2</v>
      </c>
      <c r="E13">
        <v>2</v>
      </c>
      <c r="F13" s="2">
        <v>46183.601388888892</v>
      </c>
      <c r="G13" s="1">
        <v>64.23</v>
      </c>
      <c r="H13" s="1">
        <v>0</v>
      </c>
    </row>
    <row r="14" spans="1:8" x14ac:dyDescent="0.2">
      <c r="A14" s="1">
        <v>3</v>
      </c>
      <c r="B14" s="1" t="s">
        <v>8</v>
      </c>
      <c r="C14" s="1" t="s">
        <v>9</v>
      </c>
      <c r="D14" s="1">
        <v>1</v>
      </c>
      <c r="E14">
        <v>3</v>
      </c>
      <c r="F14" s="2">
        <v>46184.654861111114</v>
      </c>
      <c r="G14" s="1">
        <v>73.069999999999993</v>
      </c>
      <c r="H14" s="1">
        <v>0</v>
      </c>
    </row>
    <row r="15" spans="1:8" x14ac:dyDescent="0.2">
      <c r="A15" s="1">
        <v>4</v>
      </c>
      <c r="B15" s="1" t="s">
        <v>8</v>
      </c>
      <c r="C15" s="1" t="s">
        <v>9</v>
      </c>
      <c r="D15" s="1">
        <v>2</v>
      </c>
      <c r="E15">
        <v>3</v>
      </c>
      <c r="F15" s="2">
        <v>46184.654861111114</v>
      </c>
      <c r="G15" s="1">
        <v>70.08</v>
      </c>
      <c r="H15" s="1">
        <v>0</v>
      </c>
    </row>
    <row r="16" spans="1:8" x14ac:dyDescent="0.2">
      <c r="A16" s="1">
        <v>7</v>
      </c>
      <c r="B16" s="1" t="s">
        <v>10</v>
      </c>
      <c r="C16" s="1" t="s">
        <v>11</v>
      </c>
      <c r="D16" s="1">
        <v>1</v>
      </c>
      <c r="E16">
        <v>3</v>
      </c>
      <c r="F16" s="2">
        <v>46184.654861111114</v>
      </c>
      <c r="G16" s="1">
        <v>64.150000000000006</v>
      </c>
      <c r="H16" s="1">
        <v>0</v>
      </c>
    </row>
    <row r="17" spans="1:8" x14ac:dyDescent="0.2">
      <c r="A17" s="1">
        <v>8</v>
      </c>
      <c r="B17" s="1" t="s">
        <v>10</v>
      </c>
      <c r="C17" s="1" t="s">
        <v>11</v>
      </c>
      <c r="D17" s="1">
        <v>2</v>
      </c>
      <c r="E17">
        <v>3</v>
      </c>
      <c r="F17" s="2">
        <v>46184.654861111114</v>
      </c>
      <c r="G17" s="1">
        <v>74.78</v>
      </c>
      <c r="H17" s="1">
        <v>0</v>
      </c>
    </row>
    <row r="18" spans="1:8" x14ac:dyDescent="0.2">
      <c r="A18" s="1">
        <v>3</v>
      </c>
      <c r="B18" s="1" t="s">
        <v>8</v>
      </c>
      <c r="C18" s="1" t="s">
        <v>9</v>
      </c>
      <c r="D18" s="1">
        <v>1</v>
      </c>
      <c r="E18">
        <v>4</v>
      </c>
      <c r="F18" s="2">
        <v>46185.626388888886</v>
      </c>
      <c r="G18" s="1">
        <v>79.180000000000007</v>
      </c>
      <c r="H18" s="1">
        <v>0</v>
      </c>
    </row>
    <row r="19" spans="1:8" x14ac:dyDescent="0.2">
      <c r="A19" s="1">
        <v>4</v>
      </c>
      <c r="B19" s="1" t="s">
        <v>8</v>
      </c>
      <c r="C19" s="1" t="s">
        <v>9</v>
      </c>
      <c r="D19" s="1">
        <v>2</v>
      </c>
      <c r="E19">
        <v>4</v>
      </c>
      <c r="F19" s="2">
        <v>46185.626388888886</v>
      </c>
      <c r="G19" s="1">
        <v>81.98</v>
      </c>
      <c r="H19" s="1">
        <v>0</v>
      </c>
    </row>
    <row r="20" spans="1:8" x14ac:dyDescent="0.2">
      <c r="A20" s="1">
        <v>7</v>
      </c>
      <c r="B20" s="1" t="s">
        <v>10</v>
      </c>
      <c r="C20" s="1" t="s">
        <v>11</v>
      </c>
      <c r="D20" s="1">
        <v>1</v>
      </c>
      <c r="E20">
        <v>4</v>
      </c>
      <c r="F20" s="2">
        <v>46185.626388888886</v>
      </c>
      <c r="G20" s="1">
        <v>89.41</v>
      </c>
      <c r="H20" s="1">
        <v>0</v>
      </c>
    </row>
    <row r="21" spans="1:8" x14ac:dyDescent="0.2">
      <c r="A21" s="1">
        <v>8</v>
      </c>
      <c r="B21" s="1" t="s">
        <v>10</v>
      </c>
      <c r="C21" s="1" t="s">
        <v>11</v>
      </c>
      <c r="D21" s="1">
        <v>2</v>
      </c>
      <c r="E21">
        <v>4</v>
      </c>
      <c r="F21" s="2">
        <v>46185.626388888886</v>
      </c>
      <c r="G21" s="1">
        <v>81.36</v>
      </c>
      <c r="H21" s="1">
        <v>0</v>
      </c>
    </row>
    <row r="22" spans="1:8" x14ac:dyDescent="0.2">
      <c r="A22" s="1">
        <v>3</v>
      </c>
      <c r="B22" s="1" t="s">
        <v>8</v>
      </c>
      <c r="C22" s="1" t="s">
        <v>9</v>
      </c>
      <c r="D22" s="1">
        <v>1</v>
      </c>
      <c r="E22">
        <v>5</v>
      </c>
      <c r="F22" s="2">
        <v>46186.536805555559</v>
      </c>
      <c r="G22" s="1">
        <v>79.12</v>
      </c>
      <c r="H22" s="1">
        <v>0</v>
      </c>
    </row>
    <row r="23" spans="1:8" x14ac:dyDescent="0.2">
      <c r="A23" s="1">
        <v>4</v>
      </c>
      <c r="B23" s="1" t="s">
        <v>8</v>
      </c>
      <c r="C23" s="1" t="s">
        <v>9</v>
      </c>
      <c r="D23" s="1">
        <v>2</v>
      </c>
      <c r="E23">
        <v>5</v>
      </c>
      <c r="F23" s="2">
        <v>46186.536805555559</v>
      </c>
      <c r="G23" s="1">
        <v>72.13</v>
      </c>
      <c r="H23" s="1">
        <v>0</v>
      </c>
    </row>
    <row r="24" spans="1:8" x14ac:dyDescent="0.2">
      <c r="A24" s="1">
        <v>7</v>
      </c>
      <c r="B24" s="1" t="s">
        <v>10</v>
      </c>
      <c r="C24" s="1" t="s">
        <v>11</v>
      </c>
      <c r="D24" s="1">
        <v>1</v>
      </c>
      <c r="E24">
        <v>5</v>
      </c>
      <c r="F24" s="2">
        <v>46186.536805555559</v>
      </c>
      <c r="G24" s="1">
        <v>74.150000000000006</v>
      </c>
      <c r="H24" s="1">
        <v>0</v>
      </c>
    </row>
    <row r="25" spans="1:8" x14ac:dyDescent="0.2">
      <c r="A25" s="1">
        <v>8</v>
      </c>
      <c r="B25" s="1" t="s">
        <v>10</v>
      </c>
      <c r="C25" s="1" t="s">
        <v>11</v>
      </c>
      <c r="D25" s="1">
        <v>2</v>
      </c>
      <c r="E25">
        <v>5</v>
      </c>
      <c r="F25" s="2">
        <v>46186.536805555559</v>
      </c>
      <c r="G25" s="1">
        <v>77.239999999999995</v>
      </c>
      <c r="H25" s="1">
        <v>0</v>
      </c>
    </row>
    <row r="26" spans="1:8" x14ac:dyDescent="0.2">
      <c r="A26" s="1">
        <v>3</v>
      </c>
      <c r="B26" s="1" t="s">
        <v>8</v>
      </c>
      <c r="C26" s="1" t="s">
        <v>9</v>
      </c>
      <c r="D26" s="1">
        <v>1</v>
      </c>
      <c r="E26" s="3">
        <v>7</v>
      </c>
      <c r="F26" s="4">
        <v>46188.644444444442</v>
      </c>
      <c r="G26" s="1">
        <v>90.84</v>
      </c>
      <c r="H26" s="1">
        <v>2</v>
      </c>
    </row>
    <row r="27" spans="1:8" x14ac:dyDescent="0.2">
      <c r="A27" s="1">
        <v>4</v>
      </c>
      <c r="B27" s="1" t="s">
        <v>8</v>
      </c>
      <c r="C27" s="1" t="s">
        <v>9</v>
      </c>
      <c r="D27" s="1">
        <v>2</v>
      </c>
      <c r="E27" s="3">
        <v>7</v>
      </c>
      <c r="F27" s="4">
        <v>46188.644444444442</v>
      </c>
      <c r="G27" s="1">
        <v>83.51</v>
      </c>
      <c r="H27" s="1">
        <v>2</v>
      </c>
    </row>
    <row r="28" spans="1:8" x14ac:dyDescent="0.2">
      <c r="A28" s="1">
        <v>7</v>
      </c>
      <c r="B28" s="1" t="s">
        <v>10</v>
      </c>
      <c r="C28" s="1" t="s">
        <v>11</v>
      </c>
      <c r="D28" s="1">
        <v>1</v>
      </c>
      <c r="E28">
        <v>7</v>
      </c>
      <c r="F28" s="2">
        <v>46188.668749999997</v>
      </c>
      <c r="G28" s="1">
        <v>86.88</v>
      </c>
      <c r="H28" s="1">
        <v>0</v>
      </c>
    </row>
    <row r="29" spans="1:8" x14ac:dyDescent="0.2">
      <c r="A29" s="1">
        <v>8</v>
      </c>
      <c r="B29" s="1" t="s">
        <v>10</v>
      </c>
      <c r="C29" s="1" t="s">
        <v>11</v>
      </c>
      <c r="D29" s="1">
        <v>2</v>
      </c>
      <c r="E29">
        <v>7</v>
      </c>
      <c r="F29" s="4">
        <v>46188.668749999997</v>
      </c>
      <c r="G29" s="1">
        <v>87.61</v>
      </c>
      <c r="H29" s="1">
        <v>0</v>
      </c>
    </row>
    <row r="30" spans="1:8" x14ac:dyDescent="0.2">
      <c r="A30" s="1">
        <v>3</v>
      </c>
      <c r="B30" s="1" t="s">
        <v>8</v>
      </c>
      <c r="C30" s="1" t="s">
        <v>9</v>
      </c>
      <c r="D30" s="1">
        <v>1</v>
      </c>
      <c r="E30" s="3">
        <v>8</v>
      </c>
      <c r="F30" s="4">
        <v>46189.585416666669</v>
      </c>
      <c r="G30" s="5">
        <f>factors!$D$2*50.8</f>
        <v>134.85306838106371</v>
      </c>
      <c r="H30" s="1">
        <v>2</v>
      </c>
    </row>
    <row r="31" spans="1:8" x14ac:dyDescent="0.2">
      <c r="A31" s="1">
        <v>4</v>
      </c>
      <c r="B31" s="1" t="s">
        <v>8</v>
      </c>
      <c r="C31" s="1" t="s">
        <v>9</v>
      </c>
      <c r="D31" s="1">
        <v>2</v>
      </c>
      <c r="E31" s="3">
        <v>8</v>
      </c>
      <c r="F31" s="4">
        <v>46189.585416666669</v>
      </c>
      <c r="G31" s="5">
        <f>factors!$D$3*39.76</f>
        <v>106.35354260089687</v>
      </c>
      <c r="H31" s="1">
        <v>2</v>
      </c>
    </row>
    <row r="32" spans="1:8" x14ac:dyDescent="0.2">
      <c r="A32" s="1">
        <v>7</v>
      </c>
      <c r="B32" s="1" t="s">
        <v>10</v>
      </c>
      <c r="C32" s="1" t="s">
        <v>11</v>
      </c>
      <c r="D32" s="1">
        <v>1</v>
      </c>
      <c r="E32" s="3">
        <v>8</v>
      </c>
      <c r="F32" s="4">
        <v>46189.585416666669</v>
      </c>
      <c r="G32" s="5">
        <f>factors!$D$4*60.15</f>
        <v>157.68955944477972</v>
      </c>
      <c r="H32" s="1">
        <v>0</v>
      </c>
    </row>
    <row r="33" spans="1:8" x14ac:dyDescent="0.2">
      <c r="A33" s="1">
        <v>8</v>
      </c>
      <c r="B33" s="1" t="s">
        <v>10</v>
      </c>
      <c r="C33" s="1" t="s">
        <v>11</v>
      </c>
      <c r="D33" s="1">
        <v>2</v>
      </c>
      <c r="E33" s="3">
        <v>8</v>
      </c>
      <c r="F33" s="4">
        <v>46189.615972222222</v>
      </c>
      <c r="G33" s="5">
        <f>factors!$D$5*46.26</f>
        <v>90.083098466325836</v>
      </c>
      <c r="H33" s="1">
        <v>0</v>
      </c>
    </row>
    <row r="34" spans="1:8" x14ac:dyDescent="0.2">
      <c r="A34" s="1">
        <v>3</v>
      </c>
      <c r="B34" s="1" t="s">
        <v>8</v>
      </c>
      <c r="C34" s="1" t="s">
        <v>9</v>
      </c>
      <c r="D34" s="1">
        <v>1</v>
      </c>
      <c r="E34" s="3">
        <v>9</v>
      </c>
      <c r="F34" s="4">
        <v>46190.590277777781</v>
      </c>
      <c r="G34" s="5">
        <f>factors!$D$2*54.91</f>
        <v>145.76342489772063</v>
      </c>
      <c r="H34" s="1">
        <v>3</v>
      </c>
    </row>
    <row r="35" spans="1:8" x14ac:dyDescent="0.2">
      <c r="A35" s="1">
        <v>4</v>
      </c>
      <c r="B35" s="1" t="s">
        <v>8</v>
      </c>
      <c r="C35" s="1" t="s">
        <v>9</v>
      </c>
      <c r="D35" s="1">
        <v>2</v>
      </c>
      <c r="E35" s="3">
        <v>9</v>
      </c>
      <c r="F35" s="4">
        <v>46190.590277777781</v>
      </c>
      <c r="G35" s="5">
        <f>factors!$D$3*42.87</f>
        <v>114.67244394618835</v>
      </c>
      <c r="H35" s="1">
        <v>3</v>
      </c>
    </row>
    <row r="36" spans="1:8" x14ac:dyDescent="0.2">
      <c r="A36" s="1">
        <v>7</v>
      </c>
      <c r="B36" s="1" t="s">
        <v>10</v>
      </c>
      <c r="C36" s="1" t="s">
        <v>11</v>
      </c>
      <c r="D36" s="1">
        <v>1</v>
      </c>
      <c r="E36" s="3">
        <v>9</v>
      </c>
      <c r="F36" s="4">
        <v>46190.590277777781</v>
      </c>
      <c r="G36" s="5">
        <f>factors!$D$4*51.01</f>
        <v>133.72808690404344</v>
      </c>
      <c r="H36" s="1">
        <v>0</v>
      </c>
    </row>
    <row r="37" spans="1:8" x14ac:dyDescent="0.2">
      <c r="A37" s="1">
        <v>8</v>
      </c>
      <c r="B37" s="1" t="s">
        <v>10</v>
      </c>
      <c r="C37" s="1" t="s">
        <v>11</v>
      </c>
      <c r="D37" s="1">
        <v>2</v>
      </c>
      <c r="E37" s="3">
        <v>9</v>
      </c>
      <c r="F37" s="4">
        <v>46190.590277777781</v>
      </c>
      <c r="G37" s="5">
        <f>factors!$D$5*58.68</f>
        <v>114.26883307401644</v>
      </c>
      <c r="H37" s="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F138E-3B1C-8A41-B1EC-E31311D94D0C}">
  <dimension ref="A1:D5"/>
  <sheetViews>
    <sheetView workbookViewId="0">
      <selection activeCell="G26" sqref="G26"/>
    </sheetView>
  </sheetViews>
  <sheetFormatPr baseColWidth="10" defaultRowHeight="16" x14ac:dyDescent="0.2"/>
  <cols>
    <col min="2" max="2" width="13.1640625" bestFit="1" customWidth="1"/>
    <col min="3" max="3" width="11.83203125" bestFit="1" customWidth="1"/>
    <col min="4" max="4" width="10.83203125" customWidth="1"/>
  </cols>
  <sheetData>
    <row r="1" spans="1:4" x14ac:dyDescent="0.2">
      <c r="A1" t="s">
        <v>12</v>
      </c>
      <c r="B1" t="s">
        <v>13</v>
      </c>
      <c r="C1" t="s">
        <v>14</v>
      </c>
      <c r="D1" t="s">
        <v>15</v>
      </c>
    </row>
    <row r="2" spans="1:4" x14ac:dyDescent="0.2">
      <c r="A2">
        <v>3</v>
      </c>
      <c r="B2">
        <v>90.84</v>
      </c>
      <c r="C2">
        <v>34.22</v>
      </c>
      <c r="D2" s="6">
        <f>B2/C2</f>
        <v>2.6545879602571598</v>
      </c>
    </row>
    <row r="3" spans="1:4" x14ac:dyDescent="0.2">
      <c r="A3">
        <v>4</v>
      </c>
      <c r="B3">
        <v>83.51</v>
      </c>
      <c r="C3">
        <v>31.22</v>
      </c>
      <c r="D3" s="6">
        <f t="shared" ref="D3:D5" si="0">B3/C3</f>
        <v>2.6748878923766819</v>
      </c>
    </row>
    <row r="4" spans="1:4" x14ac:dyDescent="0.2">
      <c r="A4">
        <v>7</v>
      </c>
      <c r="B4">
        <v>86.88</v>
      </c>
      <c r="C4">
        <v>33.14</v>
      </c>
      <c r="D4" s="6">
        <f t="shared" si="0"/>
        <v>2.6216053108026554</v>
      </c>
    </row>
    <row r="5" spans="1:4" x14ac:dyDescent="0.2">
      <c r="A5">
        <v>8</v>
      </c>
      <c r="B5">
        <v>87.61</v>
      </c>
      <c r="C5">
        <v>44.99</v>
      </c>
      <c r="D5" s="6">
        <f t="shared" si="0"/>
        <v>1.9473216270282283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factors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Uijtdewilligen, Ruben</dc:creator>
  <cp:lastModifiedBy>Uijtdewilligen, Ruben</cp:lastModifiedBy>
  <dcterms:created xsi:type="dcterms:W3CDTF">2026-06-09T15:08:46Z</dcterms:created>
  <dcterms:modified xsi:type="dcterms:W3CDTF">2026-06-17T14:34:36Z</dcterms:modified>
</cp:coreProperties>
</file>